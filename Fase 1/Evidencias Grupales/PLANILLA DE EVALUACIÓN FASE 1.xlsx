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Duoc UC\2026-2\PTY4614 - CAPSTONE\Sección 002D\Fase 1\Nuñez-Torres S\"/>
    </mc:Choice>
  </mc:AlternateContent>
  <xr:revisionPtr revIDLastSave="0" documentId="13_ncr:1_{067E5EEA-2EA3-48FA-8E98-BC6C39FD00E3}" xr6:coauthVersionLast="47" xr6:coauthVersionMax="47" xr10:uidLastSave="{00000000-0000-0000-0000-000000000000}"/>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58" i="1" l="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47" i="1" l="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<sst xmlns="http://schemas.openxmlformats.org/spreadsheetml/2006/main" count="156" uniqueCount="97">
  <si>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</si>
  <si>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</si>
  <si>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</si>
  <si>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</si>
  <si>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</si>
  <si>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</si>
  <si>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</si>
  <si>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</si>
  <si>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</si>
  <si>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</si>
  <si>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</si>
  <si>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</si>
  <si>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</si>
  <si>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</si>
  <si>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</si>
  <si>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</si>
  <si>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</si>
  <si>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</si>
  <si>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</si>
  <si>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</si>
  <si>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</si>
  <si>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</si>
  <si>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</si>
  <si>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</si>
  <si>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</si>
  <si>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</si>
  <si>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</si>
  <si>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</si>
  <si>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</si>
  <si>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</si>
  <si>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</si>
  <si>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</si>
  <si>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</si>
  <si>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</si>
  <si>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</si>
  <si>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</si>
  <si>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</si>
  <si>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</si>
  <si>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</si>
  <si>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</si>
  <si>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</si>
  <si>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</si>
  <si>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</si>
  <si>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</si>
  <si>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</si>
  <si>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</si>
  <si>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</si>
  <si>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</si>
  <si>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</si>
  <si>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</si>
  <si>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</si>
  <si>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</si>
  <si>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</si>
  <si>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</si>
  <si>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</si>
  <si>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</si>
  <si>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</si>
  <si>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</si>
  <si>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</si>
  <si>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</si>
  <si>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</si>
  <si>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</si>
  <si>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</si>
  <si>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</si>
  <si>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</si>
  <si>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</si>
  <si>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</si>
  <si>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</si>
  <si>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</si>
  <si>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</si>
  <si>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</si>
  <si>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</si>
  <si>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</si>
  <si>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</si>
  <si>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</si>
  <si>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</si>
  <si>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</si>
  <si>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</si>
  <si>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</si>
  <si>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</si>
  <si>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</si>
  <si>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</si>
  <si>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</si>
  <si>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</si>
  <si>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</si>
  <si>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</si>
  <si>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</si>
  <si>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</si>
  <si>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</si>
  <si>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</si>
  <si>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</si>
  <si>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</si>
  <si>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</si>
  <si>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</si>
  <si>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</si>
  <si>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Vicente Núñez</t>
  </si>
  <si>
    <t>Sebastián Torres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</si>
</sst>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B44" sqref="B44"/>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5.7</v>
      </c>
      <c r="D4" s="6">
        <f>$C$35</f>
        <v>6</v>
      </c>
      <c r="E4" s="43">
        <f>C4*C$2+D4*D$2</f>
        <v>5.7750000000000004</v>
      </c>
      <c r="G4" s="1"/>
    </row>
    <row r="5" spans="1:11" x14ac:dyDescent="0.25">
      <c r="A5" s="5">
        <v>2</v>
      </c>
      <c r="B5" s="32" t="s">
        <v>96</v>
      </c>
      <c r="C5" s="6">
        <f>EVALUACION1!$C$24</f>
        <v>5.7</v>
      </c>
      <c r="D5" s="6">
        <f>C47</f>
        <v>6</v>
      </c>
      <c r="E5" s="43">
        <f t="shared" ref="E5:E6" si="0">C5*C$2+D5*D$2</f>
        <v>5.7750000000000004</v>
      </c>
      <c r="G5" s="1"/>
    </row>
    <row r="6" spans="1:11" x14ac:dyDescent="0.25">
      <c r="A6" s="5">
        <v>3</v>
      </c>
      <c r="B6" s="32"/>
      <c r="C6" s="6">
        <f>EVALUACION1!$C$24</f>
        <v>5.7</v>
      </c>
      <c r="D6" s="6">
        <f>C58</f>
        <v>7</v>
      </c>
      <c r="E6" s="43">
        <f t="shared" si="0"/>
        <v>6.0250000000000004</v>
      </c>
      <c r="G6" s="1"/>
    </row>
    <row r="11" spans="1:11" ht="18.75" outlineLevel="1" x14ac:dyDescent="0.25">
      <c r="A11" s="64" t="s">
        <v>3</v>
      </c>
      <c r="B11" s="14"/>
      <c r="C11" s="57" t="s">
        <v>4</v>
      </c>
      <c r="D11" s="58" t="s">
        <v>5</v>
      </c>
      <c r="E11" s="59"/>
      <c r="F11" s="59"/>
      <c r="G11" s="59"/>
      <c r="H11" s="59"/>
      <c r="I11" s="59"/>
      <c r="J11" s="59"/>
      <c r="K11" s="60"/>
    </row>
    <row r="12" spans="1:11" outlineLevel="1" x14ac:dyDescent="0.25">
      <c r="A12" s="62"/>
      <c r="B12" s="24" t="s">
        <v>6</v>
      </c>
      <c r="C12" s="50"/>
      <c r="D12" s="58" t="s">
        <v>7</v>
      </c>
      <c r="E12" s="60"/>
      <c r="F12" s="58" t="s">
        <v>8</v>
      </c>
      <c r="G12" s="60"/>
      <c r="H12" s="58" t="s">
        <v>9</v>
      </c>
      <c r="I12" s="60"/>
      <c r="J12" s="58" t="s">
        <v>10</v>
      </c>
      <c r="K12" s="60"/>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8</v>
      </c>
      <c r="D17" s="16" t="str">
        <f t="shared" ref="D17:D22" si="12">IF($C17=CL,"X","")</f>
        <v/>
      </c>
      <c r="E17" s="16" t="str">
        <f t="shared" ref="E17" si="13">IF(D17="X",100*0.1,"")</f>
        <v/>
      </c>
      <c r="F17" s="16" t="str">
        <f t="shared" ref="F17:F22" si="14">IF($C17=L,"X","")</f>
        <v>X</v>
      </c>
      <c r="G17" s="16">
        <f t="shared" ref="G17" si="15">IF(F17="X",60*0.1,"")</f>
        <v>6</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8</v>
      </c>
      <c r="D18" s="16" t="str">
        <f t="shared" si="12"/>
        <v/>
      </c>
      <c r="E18" s="16" t="str">
        <f t="shared" ref="E18" si="20">IF(D18="X",100*0.1,"")</f>
        <v/>
      </c>
      <c r="F18" s="16" t="str">
        <f t="shared" si="14"/>
        <v>X</v>
      </c>
      <c r="G18" s="16">
        <f t="shared" ref="G18" si="21">IF(F18="X",60*0.1,"")</f>
        <v>6</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8</v>
      </c>
      <c r="D22" s="16" t="str">
        <f t="shared" si="12"/>
        <v/>
      </c>
      <c r="E22" s="16" t="str">
        <f>IF(D22="X",100*0.1,"")</f>
        <v/>
      </c>
      <c r="F22" s="16" t="str">
        <f t="shared" si="14"/>
        <v>X</v>
      </c>
      <c r="G22" s="16">
        <f>IF(F22="X",60*0.1,"")</f>
        <v>6</v>
      </c>
      <c r="H22" s="16" t="str">
        <f t="shared" si="16"/>
        <v/>
      </c>
      <c r="I22" s="16" t="str">
        <f>IF(H22="X",30*0.1,"")</f>
        <v/>
      </c>
      <c r="J22" s="16" t="str">
        <f t="shared" si="18"/>
        <v/>
      </c>
      <c r="K22" s="16" t="str">
        <f t="shared" si="19"/>
        <v/>
      </c>
    </row>
    <row r="23" spans="1:11" ht="15.75" customHeight="1" outlineLevel="1" x14ac:dyDescent="0.3">
      <c r="A23" s="62"/>
      <c r="B23" s="34" t="s">
        <v>11</v>
      </c>
      <c r="C23" s="37">
        <f>E23+G23+I23+K23</f>
        <v>58</v>
      </c>
      <c r="D23" s="19"/>
      <c r="E23" s="19">
        <f>SUM(E13:E22)</f>
        <v>40</v>
      </c>
      <c r="F23" s="19"/>
      <c r="G23" s="19">
        <f>SUM(G13:G22)</f>
        <v>18</v>
      </c>
      <c r="H23" s="19"/>
      <c r="I23" s="19">
        <f>SUM(I13:I22)</f>
        <v>0</v>
      </c>
      <c r="J23" s="19"/>
      <c r="K23" s="19">
        <f>SUM(K13:K22)</f>
        <v>0</v>
      </c>
    </row>
    <row r="24" spans="1:11" ht="15.75" customHeight="1" outlineLevel="1" x14ac:dyDescent="0.3">
      <c r="A24" s="50"/>
      <c r="B24" s="36" t="s">
        <v>12</v>
      </c>
      <c r="C24" s="20">
        <f>VLOOKUP(C23,ESCALA_IEP!A2:B142,2,FALSE)</f>
        <v>5.7</v>
      </c>
    </row>
    <row r="25" spans="1:11" ht="15.75" customHeight="1" x14ac:dyDescent="0.25"/>
    <row r="26" spans="1:11" ht="15.75" customHeight="1" x14ac:dyDescent="0.25"/>
    <row r="27" spans="1:11" ht="15.75" customHeight="1" x14ac:dyDescent="0.25">
      <c r="A27" s="61" t="s">
        <v>13</v>
      </c>
      <c r="B27" s="49" t="s">
        <v>14</v>
      </c>
      <c r="C27" s="51" t="str">
        <f>$B$4</f>
        <v>Vicente Núñez</v>
      </c>
      <c r="D27" s="52"/>
      <c r="E27" s="52"/>
      <c r="F27" s="52"/>
      <c r="G27" s="52"/>
      <c r="H27" s="52"/>
      <c r="I27" s="52"/>
      <c r="J27" s="52"/>
      <c r="K27" s="53"/>
    </row>
    <row r="28" spans="1:11" ht="15.75" customHeight="1" x14ac:dyDescent="0.25">
      <c r="A28" s="62"/>
      <c r="B28" s="50"/>
      <c r="C28" s="54"/>
      <c r="D28" s="55"/>
      <c r="E28" s="55"/>
      <c r="F28" s="55"/>
      <c r="G28" s="55"/>
      <c r="H28" s="55"/>
      <c r="I28" s="55"/>
      <c r="J28" s="55"/>
      <c r="K28" s="56"/>
    </row>
    <row r="29" spans="1:11" ht="15.75" customHeight="1" x14ac:dyDescent="0.25">
      <c r="A29" s="62"/>
      <c r="B29" s="14" t="s">
        <v>15</v>
      </c>
      <c r="C29" s="57" t="s">
        <v>4</v>
      </c>
      <c r="D29" s="58" t="s">
        <v>5</v>
      </c>
      <c r="E29" s="59"/>
      <c r="F29" s="59"/>
      <c r="G29" s="59"/>
      <c r="H29" s="59"/>
      <c r="I29" s="59"/>
      <c r="J29" s="59"/>
      <c r="K29" s="60"/>
    </row>
    <row r="30" spans="1:11" ht="15.75" customHeight="1" x14ac:dyDescent="0.25">
      <c r="A30" s="62"/>
      <c r="B30" s="15" t="s">
        <v>6</v>
      </c>
      <c r="C30" s="50"/>
      <c r="D30" s="58" t="s">
        <v>7</v>
      </c>
      <c r="E30" s="60"/>
      <c r="F30" s="58" t="s">
        <v>8</v>
      </c>
      <c r="G30" s="60"/>
      <c r="H30" s="58" t="s">
        <v>16</v>
      </c>
      <c r="I30" s="60"/>
      <c r="J30" s="58" t="s">
        <v>10</v>
      </c>
      <c r="K30" s="60"/>
    </row>
    <row r="31" spans="1:11" ht="24.6" customHeight="1" x14ac:dyDescent="0.25">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2"/>
      <c r="B32" s="35" t="str">
        <f>RUBRICA!A15</f>
        <v>11. Expone el tema utilizando un lenguaje técnico disciplinar al presentar la propuesta y responde evidenciando un manejo de la información. *</v>
      </c>
      <c r="C32" s="33" t="s">
        <v>8</v>
      </c>
      <c r="D32" s="16" t="str">
        <f t="shared" si="25"/>
        <v/>
      </c>
      <c r="E32" s="16" t="str">
        <f>IF(D32="X",100*0.1,"")</f>
        <v/>
      </c>
      <c r="F32" s="16" t="str">
        <f t="shared" si="26"/>
        <v>X</v>
      </c>
      <c r="G32" s="16">
        <f>IF(F32="X",60*0.1,"")</f>
        <v>6</v>
      </c>
      <c r="H32" s="16" t="str">
        <f t="shared" si="27"/>
        <v/>
      </c>
      <c r="I32" s="16" t="str">
        <f>IF(H32="X",30*0.1,"")</f>
        <v/>
      </c>
      <c r="J32" s="16" t="str">
        <f t="shared" si="28"/>
        <v/>
      </c>
      <c r="K32" s="16" t="str">
        <f t="shared" si="29"/>
        <v/>
      </c>
    </row>
    <row r="33" spans="1:11" x14ac:dyDescent="0.25">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2"/>
      <c r="B34" s="21" t="s">
        <v>17</v>
      </c>
      <c r="C34" s="18">
        <f>E34+G34+I34+K34</f>
        <v>26</v>
      </c>
      <c r="D34" s="19"/>
      <c r="E34" s="19">
        <f>SUM(E31:E33)</f>
        <v>20</v>
      </c>
      <c r="F34" s="19"/>
      <c r="G34" s="19">
        <f t="shared" ref="G34:K34" si="30">SUM(G31:G33)</f>
        <v>6</v>
      </c>
      <c r="H34" s="19"/>
      <c r="I34" s="19">
        <f t="shared" si="30"/>
        <v>0</v>
      </c>
      <c r="J34" s="19"/>
      <c r="K34" s="19">
        <f t="shared" si="30"/>
        <v>0</v>
      </c>
    </row>
    <row r="35" spans="1:11" ht="15.75" customHeight="1" x14ac:dyDescent="0.3">
      <c r="A35" s="50"/>
      <c r="B35" s="17" t="s">
        <v>12</v>
      </c>
      <c r="C35" s="20">
        <f>VLOOKUP(C34,ESCALA_TRAB_EQUIP!A2:B62,2,FALSE)</f>
        <v>6</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49" t="s">
        <v>14</v>
      </c>
      <c r="C39" s="51" t="str">
        <f>B5</f>
        <v>Sebastián Torres</v>
      </c>
      <c r="D39" s="52"/>
      <c r="E39" s="52"/>
      <c r="F39" s="52"/>
      <c r="G39" s="52"/>
      <c r="H39" s="52"/>
      <c r="I39" s="52"/>
      <c r="J39" s="52"/>
      <c r="K39" s="53"/>
    </row>
    <row r="40" spans="1:11" ht="15.75" customHeight="1" x14ac:dyDescent="0.25">
      <c r="A40" s="62"/>
      <c r="B40" s="50"/>
      <c r="C40" s="54"/>
      <c r="D40" s="55"/>
      <c r="E40" s="55"/>
      <c r="F40" s="55"/>
      <c r="G40" s="55"/>
      <c r="H40" s="55"/>
      <c r="I40" s="55"/>
      <c r="J40" s="55"/>
      <c r="K40" s="56"/>
    </row>
    <row r="41" spans="1:11" ht="15.75" customHeight="1" x14ac:dyDescent="0.25">
      <c r="A41" s="62"/>
      <c r="B41" s="14" t="s">
        <v>15</v>
      </c>
      <c r="C41" s="57" t="s">
        <v>4</v>
      </c>
      <c r="D41" s="58" t="s">
        <v>5</v>
      </c>
      <c r="E41" s="59"/>
      <c r="F41" s="59"/>
      <c r="G41" s="59"/>
      <c r="H41" s="59"/>
      <c r="I41" s="59"/>
      <c r="J41" s="59"/>
      <c r="K41" s="60"/>
    </row>
    <row r="42" spans="1:11" ht="15.75" customHeight="1" x14ac:dyDescent="0.25">
      <c r="A42" s="62"/>
      <c r="B42" s="15" t="s">
        <v>6</v>
      </c>
      <c r="C42" s="50"/>
      <c r="D42" s="58" t="s">
        <v>7</v>
      </c>
      <c r="E42" s="60"/>
      <c r="F42" s="58" t="s">
        <v>8</v>
      </c>
      <c r="G42" s="60"/>
      <c r="H42" s="58" t="s">
        <v>16</v>
      </c>
      <c r="I42" s="60"/>
      <c r="J42" s="58" t="s">
        <v>10</v>
      </c>
      <c r="K42" s="60"/>
    </row>
    <row r="43" spans="1:11" ht="25.9" customHeight="1" x14ac:dyDescent="0.25">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2"/>
      <c r="B44" s="35" t="str">
        <f>RUBRICA!A15</f>
        <v>11. Expone el tema utilizando un lenguaje técnico disciplinar al presentar la propuesta y responde evidenciando un manejo de la información. *</v>
      </c>
      <c r="C44" s="33" t="s">
        <v>8</v>
      </c>
      <c r="D44" s="16" t="str">
        <f t="shared" si="31"/>
        <v/>
      </c>
      <c r="E44" s="16" t="str">
        <f>IF(D44="X",100*0.1,"")</f>
        <v/>
      </c>
      <c r="F44" s="16" t="str">
        <f t="shared" si="32"/>
        <v>X</v>
      </c>
      <c r="G44" s="16">
        <f>IF(F44="X",60*0.1,"")</f>
        <v>6</v>
      </c>
      <c r="H44" s="16" t="str">
        <f t="shared" si="33"/>
        <v/>
      </c>
      <c r="I44" s="16" t="str">
        <f>IF(H44="X",30*0.1,"")</f>
        <v/>
      </c>
      <c r="J44" s="16" t="str">
        <f t="shared" si="34"/>
        <v/>
      </c>
      <c r="K44" s="16" t="str">
        <f t="shared" si="35"/>
        <v/>
      </c>
    </row>
    <row r="45" spans="1:11" ht="15.75" customHeight="1" x14ac:dyDescent="0.25">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2"/>
      <c r="B46" s="21" t="s">
        <v>17</v>
      </c>
      <c r="C46" s="18">
        <f>E46+G46+I46+K46</f>
        <v>26</v>
      </c>
      <c r="D46" s="19"/>
      <c r="E46" s="19">
        <f>SUM(E43:E45)</f>
        <v>20</v>
      </c>
      <c r="F46" s="19"/>
      <c r="G46" s="19">
        <f t="shared" ref="G46" si="36">SUM(G43:G45)</f>
        <v>6</v>
      </c>
      <c r="H46" s="19"/>
      <c r="I46" s="19">
        <f t="shared" ref="I46" si="37">SUM(I43:I45)</f>
        <v>0</v>
      </c>
      <c r="J46" s="19"/>
      <c r="K46" s="19">
        <f t="shared" ref="K46" si="38">SUM(K43:K45)</f>
        <v>0</v>
      </c>
    </row>
    <row r="47" spans="1:11" ht="15.75" customHeight="1" x14ac:dyDescent="0.3">
      <c r="A47" s="50"/>
      <c r="B47" s="17" t="s">
        <v>12</v>
      </c>
      <c r="C47" s="20">
        <f>VLOOKUP(C46,ESCALA_TRAB_EQUIP!A2:B62,2,FALSE)</f>
        <v>6</v>
      </c>
    </row>
    <row r="48" spans="1:11" ht="15.75" customHeight="1" x14ac:dyDescent="0.3">
      <c r="B48" s="22"/>
      <c r="C48" s="23"/>
    </row>
    <row r="49" spans="1:11" ht="15.75" customHeight="1" x14ac:dyDescent="0.3">
      <c r="B49" s="22"/>
      <c r="C49" s="23"/>
    </row>
    <row r="50" spans="1:11" ht="15.75" customHeight="1" x14ac:dyDescent="0.25">
      <c r="A50" s="61" t="s">
        <v>13</v>
      </c>
      <c r="B50" s="49" t="s">
        <v>14</v>
      </c>
      <c r="C50" s="51">
        <f>B6</f>
        <v>0</v>
      </c>
      <c r="D50" s="52"/>
      <c r="E50" s="52"/>
      <c r="F50" s="52"/>
      <c r="G50" s="52"/>
      <c r="H50" s="52"/>
      <c r="I50" s="52"/>
      <c r="J50" s="52"/>
      <c r="K50" s="53"/>
    </row>
    <row r="51" spans="1:11" ht="15.75" customHeight="1" x14ac:dyDescent="0.25">
      <c r="A51" s="62"/>
      <c r="B51" s="50"/>
      <c r="C51" s="54"/>
      <c r="D51" s="55"/>
      <c r="E51" s="55"/>
      <c r="F51" s="55"/>
      <c r="G51" s="55"/>
      <c r="H51" s="55"/>
      <c r="I51" s="55"/>
      <c r="J51" s="55"/>
      <c r="K51" s="56"/>
    </row>
    <row r="52" spans="1:11" ht="15.75" customHeight="1" x14ac:dyDescent="0.25">
      <c r="A52" s="62"/>
      <c r="B52" s="14" t="s">
        <v>15</v>
      </c>
      <c r="C52" s="57" t="s">
        <v>4</v>
      </c>
      <c r="D52" s="58" t="s">
        <v>5</v>
      </c>
      <c r="E52" s="59"/>
      <c r="F52" s="59"/>
      <c r="G52" s="59"/>
      <c r="H52" s="59"/>
      <c r="I52" s="59"/>
      <c r="J52" s="59"/>
      <c r="K52" s="60"/>
    </row>
    <row r="53" spans="1:11" ht="15.75" customHeight="1" x14ac:dyDescent="0.25">
      <c r="A53" s="62"/>
      <c r="B53" s="15" t="s">
        <v>6</v>
      </c>
      <c r="C53" s="50"/>
      <c r="D53" s="58" t="s">
        <v>7</v>
      </c>
      <c r="E53" s="60"/>
      <c r="F53" s="58" t="s">
        <v>8</v>
      </c>
      <c r="G53" s="60"/>
      <c r="H53" s="58" t="s">
        <v>16</v>
      </c>
      <c r="I53" s="60"/>
      <c r="J53" s="58" t="s">
        <v>10</v>
      </c>
      <c r="K53" s="60"/>
    </row>
    <row r="54" spans="1:11" ht="25.9" customHeight="1" x14ac:dyDescent="0.25">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2"/>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2"/>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Alumno Plaza Vespucio</cp:lastModifiedBy>
  <cp:revision/>
  <dcterms:created xsi:type="dcterms:W3CDTF">2023-08-07T04:08:01Z</dcterms:created>
  <dcterms:modified xsi:type="dcterms:W3CDTF">2026-09-08T13:47:38Z</dcterms:modified>
  <cp:category/>
  <cp:contentStatus/>
</cp:coreProperties>
</file>